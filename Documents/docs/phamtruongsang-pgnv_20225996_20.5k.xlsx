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steduvn-my.sharepoint.com/personal/sang_pt225996_sis_hust_edu_vn/Documents/Đồ án/Tài Liệu/"/>
    </mc:Choice>
  </mc:AlternateContent>
  <xr:revisionPtr revIDLastSave="87" documentId="8_{9807CE9E-B6CC-439B-951E-9B73F6D7F2B8}" xr6:coauthVersionLast="47" xr6:coauthVersionMax="47" xr10:uidLastSave="{6737A1DF-4353-4722-9FD1-F0489AB4F98D}"/>
  <bookViews>
    <workbookView xWindow="3252" yWindow="1824" windowWidth="17280" windowHeight="9420" xr2:uid="{3BFF7096-4112-4E85-82A4-291365CC4FE4}"/>
  </bookViews>
  <sheets>
    <sheet name="Bachelor" sheetId="1" r:id="rId1"/>
  </sheets>
  <externalReferences>
    <externalReference r:id="rId2"/>
  </externalReferences>
  <definedNames>
    <definedName name="_xlnm._FilterDatabase" localSheetId="0" hidden="1">Bachelor!$A$18:$B$22</definedName>
    <definedName name="Danh_sách_phân_ban">'[1]DS phân ban'!$B$5:$B$24</definedName>
    <definedName name="List_of_fields">'[1]DS phân ban'!$H$5:$H$24</definedName>
    <definedName name="_xlnm.Print_Area" localSheetId="0">Bachelor!$A$2:$K$93</definedName>
    <definedName name="Tuần">'[1]DS phân ban'!$E$5:$E$24</definedName>
    <definedName name="Week">'[1]DS phân ban'!$J$5:$J$24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1" i="1" l="1"/>
  <c r="H80" i="1"/>
</calcChain>
</file>

<file path=xl/sharedStrings.xml><?xml version="1.0" encoding="utf-8"?>
<sst xmlns="http://schemas.openxmlformats.org/spreadsheetml/2006/main" count="99" uniqueCount="69">
  <si>
    <t>Mẫu ĐATN 02</t>
  </si>
  <si>
    <t>HANOI UNIVERSITY OF SCIENCE AND TECHNOLOGY</t>
  </si>
  <si>
    <t>SCHOOL OF INFORMATION AND COMMUNICATIONS TECHNOLOGY</t>
  </si>
  <si>
    <t>THESIS ASSIGNMENT SHEET OF BACHELOR PROGRAM</t>
  </si>
  <si>
    <t>Semester</t>
  </si>
  <si>
    <t>Student's information</t>
  </si>
  <si>
    <t>Full name:</t>
  </si>
  <si>
    <t>Student ID:</t>
  </si>
  <si>
    <t>Phone number:</t>
  </si>
  <si>
    <t>Class:</t>
  </si>
  <si>
    <t>Email:</t>
  </si>
  <si>
    <t>Class code:</t>
  </si>
  <si>
    <t>Supervisor's information</t>
  </si>
  <si>
    <t>Thesis carried out at:</t>
  </si>
  <si>
    <t xml:space="preserve">Time duration for thesis: </t>
  </si>
  <si>
    <t xml:space="preserve">From </t>
  </si>
  <si>
    <t xml:space="preserve">to </t>
  </si>
  <si>
    <t>1. Thesis's title:</t>
  </si>
  <si>
    <t>2. Thesis's field of interest:</t>
  </si>
  <si>
    <t>-</t>
  </si>
  <si>
    <t>Option 1:</t>
  </si>
  <si>
    <t>Option 2:</t>
  </si>
  <si>
    <t>Option 3:</t>
  </si>
  <si>
    <t>If the field of interest is not listed in the available options, the supervisor may recommend a suitable topic:</t>
  </si>
  <si>
    <t>3. Objectives</t>
  </si>
  <si>
    <t>3.1. Knowledge acquired:</t>
  </si>
  <si>
    <t>3.2. Technologies acquired:</t>
  </si>
  <si>
    <t>3.3. Skills developed:</t>
  </si>
  <si>
    <t>3.4. Products expected:</t>
  </si>
  <si>
    <t xml:space="preserve">3.5. Practical issues solved:  </t>
  </si>
  <si>
    <t>4. Tentative work packages and plan:</t>
  </si>
  <si>
    <t>Note: Required credits for a bachelor-graduation thesis are 6(0-0-12-12), i.e. 12 hours per week for 17 weeks.</t>
  </si>
  <si>
    <t>Work package 1:  Literature survey,</t>
  </si>
  <si>
    <t>from Week</t>
  </si>
  <si>
    <t>to Week</t>
  </si>
  <si>
    <t>Details:</t>
  </si>
  <si>
    <t>Tìm hiểu hệ thống GPS và các hệ thống định vị toàn cầu trên Thế giới và các hệ thống khu vực trên thế giới</t>
  </si>
  <si>
    <t xml:space="preserve">Work package 2: Study/Research on related technologies, </t>
  </si>
  <si>
    <t>Work package 3: Analysis and design,</t>
  </si>
  <si>
    <t>Work package 4: Program development,</t>
  </si>
  <si>
    <t>Work package 5: Test and evaluation,</t>
  </si>
  <si>
    <t>5. Commitment of the student who has received the assignment</t>
  </si>
  <si>
    <t>I commit to complete the assignment as planned above.</t>
  </si>
  <si>
    <t xml:space="preserve">Hanoi, Date  </t>
  </si>
  <si>
    <t>Student</t>
  </si>
  <si>
    <t>(Signature and full name)</t>
  </si>
  <si>
    <t>6. Supervisor's confirmation of the student assignment</t>
  </si>
  <si>
    <t>Supervisor</t>
  </si>
  <si>
    <t>2025.2</t>
  </si>
  <si>
    <t>Pham Truong Sang</t>
  </si>
  <si>
    <t>ICT 01 - K67</t>
  </si>
  <si>
    <t>sang.pt225996@sis.hust.edu.vn</t>
  </si>
  <si>
    <t>Tran Hai Anh</t>
  </si>
  <si>
    <t>School of Informations and Technology</t>
  </si>
  <si>
    <t>Development of an E-commerce Platform for Technology Products</t>
  </si>
  <si>
    <t>- Fullstack web development process: including requirements analysis, design, implementation, testing, and deployment.
- E-commerce business knowledge: including product management, shopping carts, ordering, payment, and order processing.
- Multi-role system design: including managing USER/PM/ADMIN roles, access control, and standardizing workflows between the frontend and backend.</t>
  </si>
  <si>
    <t>- Business analysis: Analyze business requirements and translate them into use cases, APIs, and data models.
- System architecture: Design full-stack architecture and coordinate development across frontend, backend, and database components.
- Technical problem solving: Solve practical technical issues, including order status synchronization, payment callback handling, and role-based access control (RBAC).
- Project management: Planning, progress management, and software documentation.</t>
  </si>
  <si>
    <t>- The expected deliverables of this project include a complete E-commerce system.
- Customer Portal Module: User authentication, account management, product browsing, order browsing, shopping cart, ordering &amp; payment.
- Management Dashboard Module: Product &amp; category management, order processing, system administration &amp; business reporting.
- Core System &amp; API: RESTful API development, database design, global exception handling, system logging, and automated task scheduling (e.g., order expiration, unverified account cleanup).</t>
  </si>
  <si>
    <t>- Digitalizes the sales process for technology products, from product display to payment and order processing, thereby significantly reducing manual operations.
- Establishes a secure online shopping platform with user authentication, access control, and secure payment systems, enhancing the overall end-user experience.
- Provides a centralized management system for administrators and operators to efficiently manage products, categories, dynamic attributes, and the full order lifecycle.
- Offers intuitive business analytics (revenue visualization and key metrics) to assist managers in evaluating system performance, monitoring cancellation rates, and making data-driven decisions.</t>
  </si>
  <si>
    <t xml:space="preserve">eCommerce and Logistic </t>
  </si>
  <si>
    <t>Enterprise Software</t>
  </si>
  <si>
    <t>Fintech</t>
  </si>
  <si>
    <t>- Conduct a survey on e-commerce requirements for technology product sales and research common system architecture models.
- Analyze user requirements for three primary user roles: Customer, Product Manager (PM), and Administrator (Admin).</t>
  </si>
  <si>
    <t>- Research ReactJS, React Router, SASS, and state management for the frontend application.
- Research Spring Boot, Spring Security, JWT, Refresh Token, REST API, and authentication/authorization standards.
- Research PostgreSQL and design relational database schemas for users, cart, products, orders, and payments modules.
- Research the integration of OTP email services and the VNPay payment gateway (handling callbacks/IPN).</t>
  </si>
  <si>
    <t xml:space="preserve">- Analyze use cases, activity, and sequence diagrams for core business processes of Customer, PM, and Admin roles.
- Design multi-tier system architecture (Frontend-Backend-Database) and data flow diagrams.
- Design database and Entity-Relationship diagrams (ERD) for products, shopping cart, orders, payments, and users.
- Define API contracts and role-based access control (RBAC) policies.
- Design user interfaces for the shopping page, PM management module, and Admin dashboard.
</t>
  </si>
  <si>
    <t>- Develop backend RESTful APIs for Customer/PM/Admin module.
- Develop frontend interfaces.
- Implement backend infrastructure: global exception handling, system logging, and automated task scheduling.
- Integrate and finalize VNPay payment workflow, including callback and IPN processing.</t>
  </si>
  <si>
    <t>- Conduct functional testing for individual modules.
- Perform integration testing across frontend, backend, and database layers and validate Role-Based Access Control (RBAC) scenarios.
- Execute payment workflow testing (success, failure, cancellation) and verify exception handling mechanisms.
- Summarize project results and finalize the thesis report.</t>
  </si>
  <si>
    <t>0898608710</t>
  </si>
  <si>
    <t>- Frontend: ReactJS, React Router, Context API, SASS.
- Backend: Spring Boot, Spring Data JPA, Hibernate Validator, Java Mail API, Caffeine (Caching).
- Database: PostgreSQL.
- Security &amp; Authentication: Spring Security, JWT (Access Token, Refresh Token), HttpOnly Cookies.
- External Integrations: VNPay Payment Gateway (Sandbox), Email OTP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</si>
</sst>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quotePrefix="1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0" xfId="0" applyFont="1" applyFill="1" applyAlignment="1" applyProtection="1">
      <alignment horizontal="center" vertical="center"/>
      <protection locked="0"/>
    </xf>
    <xf numFmtId="0" fontId="4" fillId="0" borderId="0" xfId="0" applyFont="1"/>
    <xf numFmtId="0" fontId="4" fillId="0" borderId="0" xfId="0" applyFont="1" applyAlignment="1" applyProtection="1">
      <alignment horizontal="centerContinuous" vertical="center"/>
      <protection locked="0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49" fontId="1" fillId="2" borderId="0" xfId="0" quotePrefix="1" applyNumberFormat="1" applyFont="1" applyFill="1" applyAlignment="1" applyProtection="1">
      <alignment horizontal="left" vertical="top" wrapText="1"/>
      <protection locked="0"/>
    </xf>
    <xf numFmtId="49" fontId="1" fillId="2" borderId="0" xfId="0" quotePrefix="1" applyNumberFormat="1" applyFont="1" applyFill="1" applyAlignment="1" applyProtection="1">
      <alignment horizontal="left" vertical="top"/>
      <protection locked="0"/>
    </xf>
    <xf numFmtId="49" fontId="1" fillId="2" borderId="0" xfId="0" quotePrefix="1" applyNumberFormat="1" applyFont="1" applyFill="1" applyAlignment="1" applyProtection="1">
      <alignment horizontal="center" vertical="center" wrapText="1"/>
      <protection locked="0"/>
    </xf>
    <xf numFmtId="49" fontId="1" fillId="2" borderId="0" xfId="0" quotePrefix="1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1" fillId="3" borderId="0" xfId="0" applyFont="1" applyFill="1" applyAlignment="1" applyProtection="1">
      <alignment horizontal="left"/>
      <protection locked="0"/>
    </xf>
    <xf numFmtId="0" fontId="1" fillId="2" borderId="0" xfId="0" quotePrefix="1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14" fontId="1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5" fillId="2" borderId="0" xfId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SoICT-Phu-luc-01-PGNV_DATN_V09.04.2024.xlsx" TargetMode="External"/><Relationship Id="rId1" Type="http://schemas.openxmlformats.org/officeDocument/2006/relationships/externalLinkPath" Target="file:///C:\Users\ASUS\Downloads\SoICT-Phu-luc-01-PGNV_DATN_V09.04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ỹ sư"/>
      <sheetName val="Kỹ sư (Ví dụ)"/>
      <sheetName val="Kỹ sư (ĐATN tại DN)"/>
      <sheetName val="Kỹ sư (ĐATN tại DN) (Ví dụ)"/>
      <sheetName val="Cử nhân"/>
      <sheetName val="Cử nhân (Ví dụ)"/>
      <sheetName val="Cử nhân (ĐATN tại DN)"/>
      <sheetName val="Cử nhân (ĐATN tại DN) (Ví dụ)"/>
      <sheetName val="Engineer"/>
      <sheetName val="Engineer (Company)"/>
      <sheetName val="Bachelor"/>
      <sheetName val="Bachelor (Company)"/>
      <sheetName val="DS phân b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Xử lý ngôn ngữ tự nhiên</v>
          </cell>
          <cell r="E5">
            <v>1</v>
          </cell>
          <cell r="H5" t="str">
            <v>Natural language processing</v>
          </cell>
          <cell r="J5">
            <v>1</v>
          </cell>
        </row>
        <row r="6">
          <cell r="B6" t="str">
            <v>An toàn không gian số</v>
          </cell>
          <cell r="E6">
            <v>2</v>
          </cell>
          <cell r="H6" t="str">
            <v>Cyber Security</v>
          </cell>
          <cell r="J6">
            <v>2</v>
          </cell>
        </row>
        <row r="7">
          <cell r="B7" t="str">
            <v>Multimedia và Game</v>
          </cell>
          <cell r="E7">
            <v>3</v>
          </cell>
          <cell r="H7" t="str">
            <v>Multimedia and Game Development</v>
          </cell>
          <cell r="J7">
            <v>3</v>
          </cell>
        </row>
        <row r="8">
          <cell r="B8" t="str">
            <v>Blockchain và ứng dụng</v>
          </cell>
          <cell r="E8">
            <v>4</v>
          </cell>
          <cell r="H8" t="str">
            <v>Blockchain and Applications</v>
          </cell>
          <cell r="J8">
            <v>4</v>
          </cell>
        </row>
        <row r="9">
          <cell r="B9" t="str">
            <v>AIoT</v>
          </cell>
          <cell r="E9">
            <v>5</v>
          </cell>
          <cell r="H9" t="str">
            <v>AIoT</v>
          </cell>
          <cell r="J9">
            <v>5</v>
          </cell>
        </row>
        <row r="10">
          <cell r="B10" t="str">
            <v>Hệ nhúng</v>
          </cell>
          <cell r="E10">
            <v>6</v>
          </cell>
          <cell r="H10" t="str">
            <v>Embedded System</v>
          </cell>
          <cell r="J10">
            <v>6</v>
          </cell>
        </row>
        <row r="11">
          <cell r="B11" t="str">
            <v>Định vị sử dụng vệ tinh và ứng dụng hướng vị trí (LBS)</v>
          </cell>
          <cell r="E11">
            <v>7</v>
          </cell>
          <cell r="H11" t="str">
            <v>Navigation Technologies and Location Based Services (LBS)</v>
          </cell>
          <cell r="J11">
            <v>7</v>
          </cell>
        </row>
        <row r="12">
          <cell r="B12" t="str">
            <v>Thương mại điện tử (eCommerce) và hậu cần (Logistic)</v>
          </cell>
          <cell r="E12">
            <v>8</v>
          </cell>
          <cell r="H12" t="str">
            <v xml:space="preserve">eCommerce and Logistic </v>
          </cell>
          <cell r="J12">
            <v>8</v>
          </cell>
        </row>
        <row r="13">
          <cell r="B13" t="str">
            <v xml:space="preserve">Xử lý tín hiệu số </v>
          </cell>
          <cell r="E13">
            <v>9</v>
          </cell>
          <cell r="H13" t="str">
            <v>Digital Signal Processing</v>
          </cell>
          <cell r="J13">
            <v>9</v>
          </cell>
        </row>
        <row r="14">
          <cell r="B14" t="str">
            <v>Công nghệ và giải pháp chuyển đổi số giáo dục (EdTech)</v>
          </cell>
          <cell r="E14">
            <v>10</v>
          </cell>
          <cell r="H14" t="str">
            <v>EdTech</v>
          </cell>
          <cell r="J14">
            <v>10</v>
          </cell>
        </row>
        <row r="15">
          <cell r="B15" t="str">
            <v>Công nghệ tài chính (FinTech)</v>
          </cell>
          <cell r="E15">
            <v>11</v>
          </cell>
          <cell r="H15" t="str">
            <v>Fintech</v>
          </cell>
          <cell r="J15">
            <v>11</v>
          </cell>
        </row>
        <row r="16">
          <cell r="B16" t="str">
            <v>Giao thông thông minh (ITS)</v>
          </cell>
          <cell r="E16">
            <v>12</v>
          </cell>
          <cell r="H16" t="str">
            <v>Intelligent Transportation System (ITS)</v>
          </cell>
          <cell r="J16">
            <v>12</v>
          </cell>
        </row>
        <row r="17">
          <cell r="B17" t="str">
            <v>Học máy</v>
          </cell>
          <cell r="E17">
            <v>13</v>
          </cell>
          <cell r="H17" t="str">
            <v>Machine Learning</v>
          </cell>
          <cell r="J17">
            <v>13</v>
          </cell>
        </row>
        <row r="18">
          <cell r="B18" t="str">
            <v>Mạng máy tính và truyền thông thế hệ mới</v>
          </cell>
          <cell r="E18">
            <v>14</v>
          </cell>
          <cell r="H18" t="str">
            <v>Modern Computer Networks and Communication Technologies</v>
          </cell>
          <cell r="J18">
            <v>14</v>
          </cell>
        </row>
        <row r="19">
          <cell r="B19" t="str">
            <v>Công nghệ y tế (MedTech)</v>
          </cell>
          <cell r="E19">
            <v>15</v>
          </cell>
          <cell r="H19" t="str">
            <v>MedTech</v>
          </cell>
          <cell r="J19">
            <v>15</v>
          </cell>
        </row>
        <row r="20">
          <cell r="B20" t="str">
            <v>Phần mềm doanh nghiệp</v>
          </cell>
          <cell r="E20">
            <v>16</v>
          </cell>
          <cell r="H20" t="str">
            <v>Enterprise Software</v>
          </cell>
          <cell r="J20">
            <v>16</v>
          </cell>
        </row>
        <row r="21">
          <cell r="B21" t="str">
            <v>Phân tích dữ liệu lớn và ứng dụng</v>
          </cell>
          <cell r="E21">
            <v>17</v>
          </cell>
          <cell r="H21" t="str">
            <v>Big Data and Applications</v>
          </cell>
          <cell r="J21">
            <v>17</v>
          </cell>
        </row>
        <row r="22">
          <cell r="B22" t="str">
            <v>Thị giác máy tính</v>
          </cell>
          <cell r="E22">
            <v>18</v>
          </cell>
          <cell r="H22" t="str">
            <v>Computer Vision</v>
          </cell>
          <cell r="J22">
            <v>18</v>
          </cell>
        </row>
        <row r="23">
          <cell r="B23" t="str">
            <v>Tối ưu</v>
          </cell>
          <cell r="E23">
            <v>19</v>
          </cell>
          <cell r="H23" t="str">
            <v>Optimization</v>
          </cell>
          <cell r="J23">
            <v>19</v>
          </cell>
        </row>
        <row r="24">
          <cell r="B24" t="str">
            <v>Trí tuệ nhân tạo ứng dụng</v>
          </cell>
          <cell r="E24">
            <v>20</v>
          </cell>
          <cell r="H24" t="str">
            <v>AI and Applications</v>
          </cell>
          <cell r="J24">
            <v>20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g.pt225996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04C2-5779-4F2C-9EEB-DB83BF7EF30F}">
  <sheetPr>
    <pageSetUpPr fitToPage="1"/>
  </sheetPr>
  <dimension ref="A1:K91"/>
  <sheetViews>
    <sheetView tabSelected="1" zoomScaleNormal="100" zoomScalePageLayoutView="110" workbookViewId="0">
      <selection activeCell="L7" sqref="L7"/>
    </sheetView>
  </sheetViews>
  <sheetFormatPr defaultColWidth="10.796875" defaultRowHeight="13.8" x14ac:dyDescent="0.25"/>
  <cols>
    <col min="1" max="1" width="4.796875" style="1" customWidth="1"/>
    <col min="2" max="2" width="19" style="1" customWidth="1"/>
    <col min="3" max="3" width="10.69921875" style="1" customWidth="1"/>
    <col min="4" max="4" width="4.69921875" style="1" customWidth="1"/>
    <col min="5" max="5" width="12.69921875" style="1" customWidth="1"/>
    <col min="6" max="6" width="9.796875" style="1" customWidth="1"/>
    <col min="7" max="7" width="10.296875" style="1" customWidth="1"/>
    <col min="8" max="8" width="10.69921875" style="1" customWidth="1"/>
    <col min="9" max="9" width="8.19921875" style="1" customWidth="1"/>
    <col min="10" max="10" width="8.796875" style="1" customWidth="1"/>
    <col min="11" max="11" width="6.69921875" style="1" customWidth="1"/>
    <col min="12" max="16384" width="10.796875" style="1"/>
  </cols>
  <sheetData>
    <row r="1" spans="1:11" x14ac:dyDescent="0.25">
      <c r="J1" s="30" t="s">
        <v>0</v>
      </c>
      <c r="K1" s="31"/>
    </row>
    <row r="2" spans="1:1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25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5" spans="1:11" x14ac:dyDescent="0.25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1" x14ac:dyDescent="0.25">
      <c r="A6" s="3"/>
      <c r="B6" s="4"/>
      <c r="C6" s="4"/>
      <c r="D6" s="4"/>
      <c r="E6" s="2" t="s">
        <v>4</v>
      </c>
      <c r="F6" s="17" t="s">
        <v>48</v>
      </c>
      <c r="G6" s="4"/>
      <c r="H6" s="3"/>
      <c r="I6" s="3"/>
      <c r="J6" s="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 t="s">
        <v>6</v>
      </c>
      <c r="B9" s="3"/>
      <c r="C9" s="29" t="s">
        <v>49</v>
      </c>
      <c r="D9" s="29"/>
      <c r="E9" s="29"/>
      <c r="F9" s="29"/>
      <c r="G9" s="29"/>
      <c r="H9" s="3" t="s">
        <v>7</v>
      </c>
      <c r="I9" s="25">
        <v>20225996</v>
      </c>
      <c r="J9" s="25"/>
      <c r="K9" s="25"/>
    </row>
    <row r="10" spans="1:11" x14ac:dyDescent="0.25">
      <c r="A10" s="3" t="s">
        <v>8</v>
      </c>
      <c r="B10" s="3"/>
      <c r="C10" s="24" t="s">
        <v>67</v>
      </c>
      <c r="D10" s="25"/>
      <c r="E10" s="25"/>
      <c r="F10" s="25"/>
      <c r="G10" s="25"/>
      <c r="H10" s="3" t="s">
        <v>9</v>
      </c>
      <c r="I10" s="25" t="s">
        <v>50</v>
      </c>
      <c r="J10" s="25"/>
      <c r="K10" s="25"/>
    </row>
    <row r="11" spans="1:11" ht="15.6" x14ac:dyDescent="0.25">
      <c r="A11" s="3" t="s">
        <v>10</v>
      </c>
      <c r="B11" s="3"/>
      <c r="C11" s="28" t="s">
        <v>51</v>
      </c>
      <c r="D11" s="25"/>
      <c r="E11" s="25"/>
      <c r="F11" s="25"/>
      <c r="G11" s="25"/>
      <c r="H11" s="3" t="s">
        <v>11</v>
      </c>
      <c r="I11" s="25">
        <v>762019</v>
      </c>
      <c r="J11" s="25"/>
      <c r="K11" s="25"/>
    </row>
    <row r="12" spans="1:11" x14ac:dyDescent="0.25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 t="s">
        <v>6</v>
      </c>
      <c r="B13" s="3"/>
      <c r="C13" s="29" t="s">
        <v>52</v>
      </c>
      <c r="D13" s="29"/>
      <c r="E13" s="29"/>
      <c r="F13" s="29"/>
      <c r="G13" s="29"/>
      <c r="H13" s="29"/>
      <c r="I13" s="29"/>
      <c r="J13" s="29"/>
      <c r="K13" s="29"/>
    </row>
    <row r="14" spans="1:11" x14ac:dyDescent="0.25">
      <c r="A14" s="3" t="s">
        <v>13</v>
      </c>
      <c r="B14" s="3"/>
      <c r="C14" s="25" t="s">
        <v>53</v>
      </c>
      <c r="D14" s="25"/>
      <c r="E14" s="25"/>
      <c r="F14" s="25"/>
      <c r="G14" s="25"/>
      <c r="H14" s="25"/>
      <c r="I14" s="25"/>
      <c r="J14" s="25"/>
      <c r="K14" s="25"/>
    </row>
    <row r="15" spans="1:11" ht="15.75" customHeight="1" x14ac:dyDescent="0.25">
      <c r="A15" s="3" t="s">
        <v>14</v>
      </c>
      <c r="B15" s="3"/>
      <c r="C15" s="3" t="s">
        <v>15</v>
      </c>
      <c r="D15" s="26">
        <v>46097</v>
      </c>
      <c r="E15" s="27"/>
      <c r="F15" s="27"/>
      <c r="G15" s="27"/>
      <c r="H15" s="5" t="s">
        <v>16</v>
      </c>
      <c r="I15" s="26">
        <v>46222</v>
      </c>
      <c r="J15" s="27"/>
      <c r="K15" s="27"/>
    </row>
    <row r="16" spans="1:11" x14ac:dyDescent="0.25">
      <c r="A16" s="4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36" customHeight="1" x14ac:dyDescent="0.25">
      <c r="A17" s="27" t="s">
        <v>54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x14ac:dyDescent="0.25">
      <c r="A18" s="6" t="s">
        <v>18</v>
      </c>
    </row>
    <row r="19" spans="1:11" x14ac:dyDescent="0.25">
      <c r="A19" s="7" t="s">
        <v>19</v>
      </c>
      <c r="B19" s="1" t="s">
        <v>20</v>
      </c>
      <c r="C19" s="23" t="s">
        <v>59</v>
      </c>
      <c r="D19" s="23"/>
      <c r="E19" s="23"/>
      <c r="F19" s="23"/>
      <c r="G19" s="23"/>
      <c r="H19" s="23"/>
      <c r="I19" s="23"/>
      <c r="J19" s="23"/>
      <c r="K19" s="23"/>
    </row>
    <row r="20" spans="1:11" x14ac:dyDescent="0.25">
      <c r="A20" s="7" t="s">
        <v>19</v>
      </c>
      <c r="B20" s="1" t="s">
        <v>21</v>
      </c>
      <c r="C20" s="23" t="s">
        <v>60</v>
      </c>
      <c r="D20" s="23"/>
      <c r="E20" s="23"/>
      <c r="F20" s="23"/>
      <c r="G20" s="23"/>
      <c r="H20" s="23"/>
      <c r="I20" s="23"/>
      <c r="J20" s="23"/>
      <c r="K20" s="23"/>
    </row>
    <row r="21" spans="1:11" x14ac:dyDescent="0.25">
      <c r="A21" s="7" t="s">
        <v>19</v>
      </c>
      <c r="B21" s="1" t="s">
        <v>22</v>
      </c>
      <c r="C21" s="23" t="s">
        <v>61</v>
      </c>
      <c r="D21" s="23"/>
      <c r="E21" s="23"/>
      <c r="F21" s="23"/>
      <c r="G21" s="23"/>
      <c r="H21" s="23"/>
      <c r="I21" s="23"/>
      <c r="J21" s="23"/>
      <c r="K21" s="23"/>
    </row>
    <row r="22" spans="1:11" x14ac:dyDescent="0.25">
      <c r="A22" s="7" t="s">
        <v>19</v>
      </c>
      <c r="B22" s="1" t="s">
        <v>23</v>
      </c>
    </row>
    <row r="23" spans="1:11" ht="16.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25">
      <c r="A24" s="8" t="s">
        <v>24</v>
      </c>
    </row>
    <row r="25" spans="1:11" x14ac:dyDescent="0.25">
      <c r="A25" s="1" t="s">
        <v>25</v>
      </c>
    </row>
    <row r="26" spans="1:11" x14ac:dyDescent="0.25">
      <c r="A26" s="18" t="s">
        <v>55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30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x14ac:dyDescent="0.25">
      <c r="A29" s="1" t="s">
        <v>26</v>
      </c>
    </row>
    <row r="30" spans="1:11" x14ac:dyDescent="0.25">
      <c r="A30" s="18" t="s">
        <v>68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29.4" customHeight="1" x14ac:dyDescent="0.25">
      <c r="A31" s="19" t="s">
        <v>19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28.8" customHeight="1" x14ac:dyDescent="0.25">
      <c r="A32" s="19" t="s">
        <v>19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x14ac:dyDescent="0.25">
      <c r="A33" s="1" t="s">
        <v>27</v>
      </c>
    </row>
    <row r="34" spans="1:11" ht="85.2" customHeight="1" x14ac:dyDescent="0.25">
      <c r="A34" s="18" t="s">
        <v>56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25">
      <c r="A35" s="1" t="s">
        <v>28</v>
      </c>
    </row>
    <row r="36" spans="1:11" x14ac:dyDescent="0.25">
      <c r="A36" s="18" t="s">
        <v>57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0.050000000000001" customHeight="1" x14ac:dyDescent="0.25">
      <c r="A37" s="19" t="s">
        <v>19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61.8" customHeight="1" x14ac:dyDescent="0.25">
      <c r="A38" s="19" t="s">
        <v>19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25">
      <c r="A39" s="1" t="s">
        <v>29</v>
      </c>
    </row>
    <row r="40" spans="1:11" x14ac:dyDescent="0.25">
      <c r="A40" s="18" t="s">
        <v>58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ht="10.95" customHeight="1" x14ac:dyDescent="0.25">
      <c r="A41" s="19" t="s">
        <v>19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87" customHeight="1" x14ac:dyDescent="0.25">
      <c r="A42" s="19" t="s">
        <v>19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25">
      <c r="A43" s="6" t="s">
        <v>30</v>
      </c>
    </row>
    <row r="44" spans="1:11" ht="24" customHeight="1" x14ac:dyDescent="0.25">
      <c r="A44" s="22" t="s">
        <v>31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x14ac:dyDescent="0.25">
      <c r="A45" s="6" t="s">
        <v>32</v>
      </c>
      <c r="G45" s="1" t="s">
        <v>33</v>
      </c>
      <c r="H45" s="9">
        <v>1</v>
      </c>
      <c r="I45" s="1" t="s">
        <v>34</v>
      </c>
      <c r="J45" s="9">
        <v>5</v>
      </c>
    </row>
    <row r="46" spans="1:11" x14ac:dyDescent="0.25">
      <c r="A46" s="1" t="s">
        <v>35</v>
      </c>
    </row>
    <row r="47" spans="1:11" x14ac:dyDescent="0.25">
      <c r="A47" s="18" t="s">
        <v>62</v>
      </c>
      <c r="B47" s="19" t="s">
        <v>36</v>
      </c>
      <c r="C47" s="19"/>
      <c r="D47" s="19"/>
      <c r="E47" s="19"/>
      <c r="F47" s="19"/>
      <c r="G47" s="19"/>
      <c r="H47" s="19"/>
      <c r="I47" s="19"/>
      <c r="J47" s="19"/>
      <c r="K47" s="19"/>
    </row>
    <row r="48" spans="1:11" x14ac:dyDescent="0.25">
      <c r="A48" s="19" t="s">
        <v>19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ht="3" customHeight="1" x14ac:dyDescent="0.25">
      <c r="A49" s="19" t="s">
        <v>19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x14ac:dyDescent="0.25">
      <c r="A50" s="6" t="s">
        <v>37</v>
      </c>
      <c r="G50" s="1" t="s">
        <v>33</v>
      </c>
      <c r="H50" s="9">
        <v>2</v>
      </c>
      <c r="I50" s="1" t="s">
        <v>34</v>
      </c>
      <c r="J50" s="9">
        <v>7</v>
      </c>
    </row>
    <row r="51" spans="1:11" x14ac:dyDescent="0.25">
      <c r="A51" s="1" t="s">
        <v>35</v>
      </c>
    </row>
    <row r="52" spans="1:11" x14ac:dyDescent="0.25">
      <c r="A52" s="18" t="s">
        <v>63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x14ac:dyDescent="0.25">
      <c r="A53" s="19" t="s">
        <v>19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29.4" customHeight="1" x14ac:dyDescent="0.25">
      <c r="A54" s="19" t="s">
        <v>19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x14ac:dyDescent="0.25">
      <c r="A55" s="6" t="s">
        <v>38</v>
      </c>
      <c r="G55" s="1" t="s">
        <v>33</v>
      </c>
      <c r="H55" s="9">
        <v>5</v>
      </c>
      <c r="I55" s="1" t="s">
        <v>34</v>
      </c>
      <c r="J55" s="9">
        <v>10</v>
      </c>
    </row>
    <row r="56" spans="1:11" x14ac:dyDescent="0.25">
      <c r="A56" s="1" t="s">
        <v>35</v>
      </c>
    </row>
    <row r="57" spans="1:11" ht="13.05" customHeight="1" x14ac:dyDescent="0.25">
      <c r="A57" s="18" t="s">
        <v>64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ht="43.2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x14ac:dyDescent="0.25">
      <c r="A60" s="6" t="s">
        <v>39</v>
      </c>
      <c r="G60" s="1" t="s">
        <v>33</v>
      </c>
      <c r="H60" s="9">
        <v>8</v>
      </c>
      <c r="I60" s="1" t="s">
        <v>34</v>
      </c>
      <c r="J60" s="9">
        <v>15</v>
      </c>
    </row>
    <row r="61" spans="1:11" x14ac:dyDescent="0.25">
      <c r="A61" s="1" t="s">
        <v>35</v>
      </c>
    </row>
    <row r="62" spans="1:11" x14ac:dyDescent="0.25">
      <c r="A62" s="18" t="s">
        <v>65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x14ac:dyDescent="0.25">
      <c r="A63" s="19" t="s">
        <v>19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29.4" customHeight="1" x14ac:dyDescent="0.25">
      <c r="A64" s="19" t="s">
        <v>19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x14ac:dyDescent="0.25">
      <c r="A65" s="6" t="s">
        <v>40</v>
      </c>
      <c r="G65" s="1" t="s">
        <v>33</v>
      </c>
      <c r="H65" s="9">
        <v>14</v>
      </c>
      <c r="I65" s="1" t="s">
        <v>34</v>
      </c>
      <c r="J65" s="9">
        <v>17</v>
      </c>
    </row>
    <row r="66" spans="1:11" x14ac:dyDescent="0.25">
      <c r="A66" s="1" t="s">
        <v>35</v>
      </c>
    </row>
    <row r="67" spans="1:11" x14ac:dyDescent="0.25">
      <c r="A67" s="18" t="s">
        <v>66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43.2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x14ac:dyDescent="0.25">
      <c r="A70" s="6" t="s">
        <v>41</v>
      </c>
    </row>
    <row r="71" spans="1:11" ht="14.4" x14ac:dyDescent="0.3">
      <c r="A71" s="10" t="s">
        <v>42</v>
      </c>
    </row>
    <row r="72" spans="1:11" ht="14.4" x14ac:dyDescent="0.25">
      <c r="H72" s="11" t="s">
        <v>43</v>
      </c>
      <c r="I72" s="11"/>
      <c r="J72" s="11"/>
      <c r="K72" s="11"/>
    </row>
    <row r="73" spans="1:11" ht="15.75" customHeight="1" x14ac:dyDescent="0.25">
      <c r="H73" s="12" t="s">
        <v>44</v>
      </c>
      <c r="I73" s="12"/>
      <c r="J73" s="12"/>
      <c r="K73" s="12"/>
    </row>
    <row r="74" spans="1:11" ht="15.75" customHeight="1" x14ac:dyDescent="0.3">
      <c r="H74" s="13" t="s">
        <v>45</v>
      </c>
      <c r="I74" s="12"/>
      <c r="J74" s="12"/>
      <c r="K74" s="12"/>
    </row>
    <row r="75" spans="1:11" ht="15.75" customHeight="1" x14ac:dyDescent="0.25">
      <c r="H75" s="12"/>
      <c r="I75" s="12"/>
      <c r="J75" s="12"/>
      <c r="K75" s="12"/>
    </row>
    <row r="76" spans="1:11" ht="15.75" customHeight="1" x14ac:dyDescent="0.25">
      <c r="H76" s="12"/>
      <c r="I76" s="12"/>
      <c r="J76" s="12"/>
      <c r="K76" s="12"/>
    </row>
    <row r="77" spans="1:11" x14ac:dyDescent="0.25">
      <c r="H77" s="14"/>
      <c r="I77" s="14"/>
      <c r="J77" s="14"/>
      <c r="K77" s="14"/>
    </row>
    <row r="78" spans="1:11" x14ac:dyDescent="0.25">
      <c r="H78" s="14"/>
      <c r="I78" s="14"/>
      <c r="J78" s="14"/>
      <c r="K78" s="14"/>
    </row>
    <row r="79" spans="1:11" x14ac:dyDescent="0.25">
      <c r="H79" s="14"/>
      <c r="I79" s="14"/>
      <c r="J79" s="14"/>
      <c r="K79" s="14"/>
    </row>
    <row r="80" spans="1:11" x14ac:dyDescent="0.25">
      <c r="H80" s="15" t="str">
        <f>C9</f>
        <v>Pham Truong Sang</v>
      </c>
      <c r="I80" s="15"/>
      <c r="J80" s="15"/>
      <c r="K80" s="15"/>
    </row>
    <row r="81" spans="1:11" x14ac:dyDescent="0.25">
      <c r="H81" s="14"/>
      <c r="I81" s="14"/>
      <c r="J81" s="14"/>
      <c r="K81" s="14"/>
    </row>
    <row r="82" spans="1:11" x14ac:dyDescent="0.25">
      <c r="A82" s="6" t="s">
        <v>46</v>
      </c>
      <c r="H82" s="14"/>
      <c r="I82" s="14"/>
      <c r="J82" s="14"/>
      <c r="K82" s="14"/>
    </row>
    <row r="83" spans="1:11" ht="14.4" x14ac:dyDescent="0.3">
      <c r="H83" s="16" t="s">
        <v>43</v>
      </c>
      <c r="I83" s="16"/>
      <c r="J83" s="16"/>
      <c r="K83" s="16"/>
    </row>
    <row r="84" spans="1:11" x14ac:dyDescent="0.25">
      <c r="H84" s="12" t="s">
        <v>47</v>
      </c>
      <c r="I84" s="12"/>
      <c r="J84" s="12"/>
      <c r="K84" s="12"/>
    </row>
    <row r="85" spans="1:11" ht="14.4" x14ac:dyDescent="0.3">
      <c r="H85" s="13" t="s">
        <v>45</v>
      </c>
      <c r="I85" s="14"/>
      <c r="J85" s="14"/>
      <c r="K85" s="14"/>
    </row>
    <row r="86" spans="1:11" x14ac:dyDescent="0.25">
      <c r="H86" s="14"/>
      <c r="I86" s="14"/>
      <c r="J86" s="14"/>
      <c r="K86" s="14"/>
    </row>
    <row r="87" spans="1:11" x14ac:dyDescent="0.25">
      <c r="H87" s="14"/>
      <c r="I87" s="14"/>
      <c r="J87" s="14"/>
      <c r="K87" s="14"/>
    </row>
    <row r="88" spans="1:11" x14ac:dyDescent="0.25">
      <c r="H88" s="14"/>
      <c r="I88" s="14"/>
      <c r="J88" s="14"/>
      <c r="K88" s="14"/>
    </row>
    <row r="89" spans="1:11" x14ac:dyDescent="0.25">
      <c r="H89" s="14"/>
      <c r="I89" s="14"/>
      <c r="J89" s="14"/>
      <c r="K89" s="14"/>
    </row>
    <row r="90" spans="1:11" x14ac:dyDescent="0.25">
      <c r="H90" s="14"/>
      <c r="I90" s="14"/>
      <c r="J90" s="14"/>
      <c r="K90" s="14"/>
    </row>
    <row r="91" spans="1:11" x14ac:dyDescent="0.25">
      <c r="H91" s="15" t="str">
        <f>C13</f>
        <v>Tran Hai Anh</v>
      </c>
      <c r="I91" s="15"/>
      <c r="J91" s="15"/>
      <c r="K91" s="15"/>
    </row>
  </sheetData>
  <sheetProtection algorithmName="SHA-512" hashValue="dGB5rdjGg0ipdhTy4xYa0qCpU7SNwhtpuyBWOMy6+UUERiI8gZ18OWwoIcaeXF+15HgifNA1frEIPNbK+btYDg==" saltValue="4KqTFWNwOWM0msg5o18a+Q==" spinCount="100000" sheet="1" objects="1" scenarios="1" formatCells="0" formatColumns="0" formatRows="0" insertRows="0" insertHyperlinks="0"/>
  <mergeCells count="30">
    <mergeCell ref="J1:K1"/>
    <mergeCell ref="A2:K2"/>
    <mergeCell ref="A3:K3"/>
    <mergeCell ref="A5:K5"/>
    <mergeCell ref="C9:G9"/>
    <mergeCell ref="I9:K9"/>
    <mergeCell ref="C21:K21"/>
    <mergeCell ref="C10:G10"/>
    <mergeCell ref="I11:K11"/>
    <mergeCell ref="D15:G15"/>
    <mergeCell ref="I15:K15"/>
    <mergeCell ref="A17:K17"/>
    <mergeCell ref="C19:K19"/>
    <mergeCell ref="C20:K20"/>
    <mergeCell ref="I10:K10"/>
    <mergeCell ref="C11:G11"/>
    <mergeCell ref="C13:K13"/>
    <mergeCell ref="C14:K14"/>
    <mergeCell ref="A67:K69"/>
    <mergeCell ref="A23:K23"/>
    <mergeCell ref="A26:K28"/>
    <mergeCell ref="A30:K32"/>
    <mergeCell ref="A34:K34"/>
    <mergeCell ref="A36:K38"/>
    <mergeCell ref="A40:K42"/>
    <mergeCell ref="A44:K44"/>
    <mergeCell ref="A47:K49"/>
    <mergeCell ref="A52:K54"/>
    <mergeCell ref="A57:K59"/>
    <mergeCell ref="A62:K64"/>
  </mergeCells>
  <dataValidations count="2">
    <dataValidation type="list" allowBlank="1" showInputMessage="1" showErrorMessage="1" sqref="H45 J45 H50 J50 H55 J55 H60 J60 H65 J65" xr:uid="{144328F9-BDD3-4B15-9997-4C11D768FBC7}">
      <formula1>Week</formula1>
    </dataValidation>
    <dataValidation type="list" allowBlank="1" showInputMessage="1" showErrorMessage="1" sqref="C19:K21" xr:uid="{A987F038-1C71-4314-819E-41627B2FE6E4}">
      <formula1>List_of_fields</formula1>
    </dataValidation>
  </dataValidations>
  <hyperlinks>
    <hyperlink ref="C11" r:id="rId1" xr:uid="{9C73BE0A-E4E4-E64D-9936-DC4AA4CBD58F}"/>
  </hyperlinks>
  <pageMargins left="0.7" right="0.7" top="0.75" bottom="0.75" header="0.3" footer="0.3"/>
  <pageSetup paperSize="9" scale="77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Bachelor</vt:lpstr>
      <vt:lpstr>Bachelor!Print_Area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Truong Sang 20225996</dc:creator>
  <cp:lastModifiedBy>Pham Truong Sang 20225996</cp:lastModifiedBy>
  <dcterms:created xsi:type="dcterms:W3CDTF">2026-04-23T08:43:05Z</dcterms:created>
  <dcterms:modified xsi:type="dcterms:W3CDTF">2026-04-23T14:48:54Z</dcterms:modified>
</cp:coreProperties>
</file>